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840" tabRatio="600" firstSheet="0" activeTab="0" autoFilterDateGrouping="1"/>
  </bookViews>
  <sheets>
    <sheet xmlns:r="http://schemas.openxmlformats.org/officeDocument/2006/relationships" name="Inference" sheetId="1" state="visible" r:id="rId1"/>
    <sheet xmlns:r="http://schemas.openxmlformats.org/officeDocument/2006/relationships" name="Embeddings" sheetId="2" state="visible" r:id="rId2"/>
    <sheet xmlns:r="http://schemas.openxmlformats.org/officeDocument/2006/relationships" name="Cost Savings" sheetId="3" state="visible" r:id="rId3"/>
    <sheet xmlns:r="http://schemas.openxmlformats.org/officeDocument/2006/relationships" name="Assumptions" sheetId="4" state="visible" r:id="rId4"/>
  </sheets>
  <definedNames/>
  <calcPr calcId="191028" fullCalcOnLoad="1"/>
</workbook>
</file>

<file path=xl/styles.xml><?xml version="1.0" encoding="utf-8"?>
<styleSheet xmlns="http://schemas.openxmlformats.org/spreadsheetml/2006/main">
  <numFmts count="3">
    <numFmt numFmtId="164" formatCode="[$$-409]#,##0.00"/>
    <numFmt numFmtId="165" formatCode="_([$$-409]* #,##0.00_);_([$$-409]* \(#,##0.00\);_([$$-409]* &quot;-&quot;??_);_(@_)"/>
    <numFmt numFmtId="166" formatCode="_(&quot;₹&quot;* #,##0.00_);_(&quot;₹&quot;* \(#,##0.00\);_(&quot;₹&quot;* &quot;-&quot;??_);_(@_)"/>
  </numFmts>
  <fonts count="10">
    <font>
      <name val="Calibri"/>
      <family val="2"/>
      <color theme="1"/>
      <sz val="14"/>
      <scheme val="minor"/>
    </font>
    <font>
      <name val="Calibri"/>
      <family val="2"/>
      <b val="1"/>
      <color theme="1"/>
      <sz val="14"/>
      <scheme val="minor"/>
    </font>
    <font>
      <name val="Calibri"/>
      <family val="2"/>
      <b val="1"/>
      <color theme="0"/>
      <sz val="14"/>
      <scheme val="minor"/>
    </font>
    <font>
      <name val="Calibri"/>
      <family val="2"/>
      <b val="1"/>
      <color theme="1"/>
      <sz val="18"/>
      <scheme val="minor"/>
    </font>
    <font>
      <name val="Calibri"/>
      <family val="2"/>
      <color theme="1"/>
      <sz val="14"/>
      <scheme val="minor"/>
    </font>
    <font>
      <i val="1"/>
      <color rgb="FF595959"/>
      <sz val="9"/>
    </font>
    <font>
      <b val="1"/>
      <sz val="11"/>
    </font>
    <font>
      <sz val="10"/>
    </font>
    <font>
      <b val="1"/>
      <sz val="13"/>
    </font>
    <font>
      <i val="1"/>
      <color rgb="FF595959"/>
      <sz val="10"/>
    </font>
  </fonts>
  <fills count="5">
    <fill>
      <patternFill/>
    </fill>
    <fill>
      <patternFill patternType="gray125"/>
    </fill>
    <fill>
      <patternFill patternType="solid">
        <fgColor theme="4" tint="0.5999938962981048"/>
        <bgColor indexed="64"/>
      </patternFill>
    </fill>
    <fill>
      <patternFill patternType="solid">
        <fgColor theme="4"/>
        <bgColor theme="4"/>
      </patternFill>
    </fill>
    <fill>
      <patternFill patternType="solid">
        <fgColor theme="4" tint="-0.24997711111789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theme="4"/>
      </top>
      <bottom/>
      <diagonal/>
    </border>
    <border>
      <left/>
      <right style="medium">
        <color indexed="64"/>
      </right>
      <top style="thin">
        <color theme="4"/>
      </top>
      <bottom/>
      <diagonal/>
    </border>
    <border>
      <left style="medium">
        <color indexed="64"/>
      </left>
      <right/>
      <top style="thin">
        <color theme="4"/>
      </top>
      <bottom style="medium">
        <color indexed="64"/>
      </bottom>
      <diagonal/>
    </border>
    <border>
      <left style="thin">
        <color theme="4"/>
      </left>
      <right style="medium">
        <color indexed="64"/>
      </right>
      <top style="thin">
        <color theme="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theme="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s>
  <cellStyleXfs count="3">
    <xf numFmtId="0" fontId="4" fillId="0" borderId="0"/>
    <xf numFmtId="166" fontId="4" fillId="0" borderId="0"/>
    <xf numFmtId="9" fontId="4" fillId="0" borderId="0"/>
  </cellStyleXfs>
  <cellXfs count="89">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1" fillId="4" borderId="4" applyAlignment="1" pivotButton="0" quotePrefix="0" xfId="0">
      <alignment horizontal="center" vertical="center" wrapText="1"/>
    </xf>
    <xf numFmtId="0" fontId="1" fillId="4" borderId="5" applyAlignment="1" pivotButton="0" quotePrefix="0" xfId="0">
      <alignment horizontal="center" vertical="center" wrapText="1"/>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4" pivotButton="0" quotePrefix="0" xfId="0"/>
    <xf numFmtId="0" fontId="0" fillId="0" borderId="4" applyAlignment="1" pivotButton="0" quotePrefix="0" xfId="0">
      <alignment wrapText="1"/>
    </xf>
    <xf numFmtId="0" fontId="1" fillId="2" borderId="10" applyAlignment="1" pivotButton="0" quotePrefix="0" xfId="0">
      <alignment horizontal="center" vertical="center"/>
    </xf>
    <xf numFmtId="164" fontId="1" fillId="2" borderId="11" applyAlignment="1" pivotButton="0" quotePrefix="0" xfId="0">
      <alignment horizontal="center" vertical="center"/>
    </xf>
    <xf numFmtId="0" fontId="0" fillId="0" borderId="12"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1" fillId="2" borderId="10" applyAlignment="1" pivotButton="0" quotePrefix="0" xfId="0">
      <alignment vertical="center"/>
    </xf>
    <xf numFmtId="0" fontId="2" fillId="3" borderId="13" applyAlignment="1" pivotButton="0" quotePrefix="0" xfId="0">
      <alignment horizontal="center" vertical="center"/>
    </xf>
    <xf numFmtId="164" fontId="2" fillId="3" borderId="14" applyAlignment="1" pivotButton="0" quotePrefix="0" xfId="0">
      <alignment horizontal="center" vertical="center"/>
    </xf>
    <xf numFmtId="0" fontId="3" fillId="2" borderId="13" applyAlignment="1" pivotButton="0" quotePrefix="0" xfId="0">
      <alignment horizontal="center" vertical="center"/>
    </xf>
    <xf numFmtId="0" fontId="3" fillId="2" borderId="15" applyAlignment="1" pivotButton="0" quotePrefix="0" xfId="0">
      <alignment horizontal="center" vertical="center"/>
    </xf>
    <xf numFmtId="0" fontId="0" fillId="0" borderId="18" applyAlignment="1" pivotButton="0" quotePrefix="0" xfId="0">
      <alignment horizontal="center" vertical="center"/>
    </xf>
    <xf numFmtId="0" fontId="1" fillId="2" borderId="18" applyAlignment="1" pivotButton="0" quotePrefix="0" xfId="0">
      <alignment horizontal="center" vertical="center"/>
    </xf>
    <xf numFmtId="0" fontId="1" fillId="2" borderId="12" applyAlignment="1" pivotButton="0" quotePrefix="0" xfId="0">
      <alignment horizontal="center" vertical="center"/>
    </xf>
    <xf numFmtId="0" fontId="1" fillId="2" borderId="19" applyAlignment="1" pivotButton="0" quotePrefix="0" xfId="0">
      <alignment horizontal="center" vertical="center"/>
    </xf>
    <xf numFmtId="0" fontId="1" fillId="2" borderId="20"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4" applyAlignment="1" pivotButton="0" quotePrefix="0" xfId="0">
      <alignment horizontal="center" vertical="center"/>
    </xf>
    <xf numFmtId="164" fontId="0" fillId="0" borderId="25" applyAlignment="1" pivotButton="0" quotePrefix="0" xfId="0">
      <alignment horizontal="center" vertical="center"/>
    </xf>
    <xf numFmtId="0" fontId="0" fillId="0" borderId="24" pivotButton="0" quotePrefix="0" xfId="0"/>
    <xf numFmtId="0" fontId="0" fillId="0" borderId="1" pivotButton="0" quotePrefix="0" xfId="0"/>
    <xf numFmtId="164" fontId="0" fillId="0" borderId="25" pivotButton="0" quotePrefix="0" xfId="0"/>
    <xf numFmtId="0" fontId="0" fillId="0" borderId="26" pivotButton="0" quotePrefix="0" xfId="0"/>
    <xf numFmtId="0" fontId="0" fillId="0" borderId="27" pivotButton="0" quotePrefix="0" xfId="0"/>
    <xf numFmtId="164" fontId="0" fillId="0" borderId="28" pivotButton="0" quotePrefix="0" xfId="0"/>
    <xf numFmtId="0" fontId="2" fillId="4" borderId="0" applyAlignment="1" pivotButton="0" quotePrefix="0" xfId="0">
      <alignment horizontal="center" vertical="center"/>
    </xf>
    <xf numFmtId="165" fontId="2" fillId="4" borderId="0" applyAlignment="1" pivotButton="0" quotePrefix="0" xfId="0">
      <alignment horizontal="center" vertical="center"/>
    </xf>
    <xf numFmtId="0" fontId="2" fillId="4" borderId="1" applyAlignment="1" pivotButton="0" quotePrefix="0" xfId="0">
      <alignment horizontal="center" vertical="center"/>
    </xf>
    <xf numFmtId="165" fontId="2" fillId="4" borderId="1" applyAlignment="1" pivotButton="0" quotePrefix="0" xfId="0">
      <alignment horizontal="center" vertical="center"/>
    </xf>
    <xf numFmtId="9" fontId="2" fillId="4" borderId="1" applyAlignment="1" pivotButton="0" quotePrefix="0" xfId="2">
      <alignment horizontal="center" vertical="center"/>
    </xf>
    <xf numFmtId="0" fontId="0" fillId="0" borderId="23" applyAlignment="1" pivotButton="0" quotePrefix="0" xfId="0">
      <alignment horizontal="center" vertical="center"/>
    </xf>
    <xf numFmtId="165" fontId="0" fillId="0" borderId="25" pivotButton="0" quotePrefix="0" xfId="0"/>
    <xf numFmtId="165" fontId="0" fillId="0" borderId="28" pivotButton="0" quotePrefix="0" xfId="0"/>
    <xf numFmtId="165" fontId="0" fillId="0" borderId="25" applyAlignment="1" pivotButton="0" quotePrefix="0" xfId="1">
      <alignment horizontal="center" vertical="center"/>
    </xf>
    <xf numFmtId="165" fontId="0" fillId="0" borderId="25" applyAlignment="1" pivotButton="0" quotePrefix="0" xfId="0">
      <alignment horizontal="center" vertical="center"/>
    </xf>
    <xf numFmtId="0" fontId="0" fillId="0" borderId="26" applyAlignment="1" pivotButton="0" quotePrefix="0" xfId="0">
      <alignment horizontal="center" vertical="center"/>
    </xf>
    <xf numFmtId="165" fontId="0" fillId="0" borderId="28"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1" fillId="2" borderId="29" applyAlignment="1" pivotButton="0" quotePrefix="0" xfId="0">
      <alignment horizontal="center" vertical="center" wrapText="1"/>
    </xf>
    <xf numFmtId="0" fontId="1" fillId="2" borderId="30" applyAlignment="1" pivotButton="0" quotePrefix="0" xfId="0">
      <alignment horizontal="center" vertical="center" wrapText="1"/>
    </xf>
    <xf numFmtId="0" fontId="1" fillId="2" borderId="3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2" fillId="4" borderId="0" applyAlignment="1" pivotButton="0" quotePrefix="0" xfId="0">
      <alignment horizontal="center" vertical="center"/>
    </xf>
    <xf numFmtId="0" fontId="2" fillId="4" borderId="0" applyAlignment="1" pivotButton="0" quotePrefix="0" xfId="0">
      <alignment horizontal="center" vertical="center" wrapText="1"/>
    </xf>
    <xf numFmtId="0" fontId="0" fillId="0" borderId="31" pivotButton="0" quotePrefix="0" xfId="0"/>
    <xf numFmtId="0" fontId="1" fillId="2" borderId="16" applyAlignment="1" pivotButton="0" quotePrefix="0" xfId="0">
      <alignment horizontal="center" vertical="center" wrapText="1"/>
    </xf>
    <xf numFmtId="0" fontId="0" fillId="0" borderId="30" pivotButton="0" quotePrefix="0" xfId="0"/>
    <xf numFmtId="164" fontId="0" fillId="0" borderId="25" applyAlignment="1" pivotButton="0" quotePrefix="0" xfId="0">
      <alignment horizontal="center" vertical="center"/>
    </xf>
    <xf numFmtId="164" fontId="0" fillId="0" borderId="25" pivotButton="0" quotePrefix="0" xfId="0"/>
    <xf numFmtId="0" fontId="5" fillId="0" borderId="24" applyAlignment="1" pivotButton="0" quotePrefix="0" xfId="0">
      <alignment vertical="top" wrapText="1"/>
    </xf>
    <xf numFmtId="0" fontId="0" fillId="0" borderId="35" pivotButton="0" quotePrefix="0" xfId="0"/>
    <xf numFmtId="0" fontId="0" fillId="0" borderId="37" pivotButton="0" quotePrefix="0" xfId="0"/>
    <xf numFmtId="0" fontId="0" fillId="0" borderId="21" pivotButton="0" quotePrefix="0" xfId="0"/>
    <xf numFmtId="0" fontId="6" fillId="0" borderId="0" pivotButton="0" quotePrefix="0" xfId="0"/>
    <xf numFmtId="0" fontId="7" fillId="0" borderId="0" applyAlignment="1" pivotButton="0" quotePrefix="0" xfId="0">
      <alignment vertical="top" wrapText="1"/>
    </xf>
    <xf numFmtId="0" fontId="1" fillId="2" borderId="34" applyAlignment="1" pivotButton="0" quotePrefix="0" xfId="0">
      <alignment horizontal="center" vertical="center" wrapText="1"/>
    </xf>
    <xf numFmtId="0" fontId="0" fillId="0" borderId="3" pivotButton="0" quotePrefix="0" xfId="0"/>
    <xf numFmtId="0" fontId="1" fillId="2" borderId="34" applyAlignment="1" pivotButton="0" quotePrefix="0" xfId="0">
      <alignment horizontal="center" vertical="center"/>
    </xf>
    <xf numFmtId="164" fontId="1" fillId="2" borderId="11" applyAlignment="1" pivotButton="0" quotePrefix="0" xfId="0">
      <alignment horizontal="center" vertical="center"/>
    </xf>
    <xf numFmtId="164" fontId="2" fillId="3" borderId="14" applyAlignment="1" pivotButton="0" quotePrefix="0" xfId="0">
      <alignment horizontal="center" vertical="center"/>
    </xf>
    <xf numFmtId="165" fontId="0" fillId="0" borderId="25" applyAlignment="1" pivotButton="0" quotePrefix="0" xfId="1">
      <alignment horizontal="center" vertical="center"/>
    </xf>
    <xf numFmtId="165" fontId="0" fillId="0" borderId="25" applyAlignment="1" pivotButton="0" quotePrefix="0" xfId="0">
      <alignment horizontal="center" vertical="center"/>
    </xf>
    <xf numFmtId="165" fontId="0" fillId="0" borderId="28" applyAlignment="1" pivotButton="0" quotePrefix="0" xfId="0">
      <alignment horizontal="center" vertical="center"/>
    </xf>
    <xf numFmtId="165" fontId="2" fillId="4" borderId="0" applyAlignment="1" pivotButton="0" quotePrefix="0" xfId="0">
      <alignment horizontal="center" vertical="center"/>
    </xf>
    <xf numFmtId="165" fontId="0" fillId="0" borderId="25" pivotButton="0" quotePrefix="0" xfId="0"/>
    <xf numFmtId="165" fontId="0" fillId="0" borderId="28" pivotButton="0" quotePrefix="0" xfId="0"/>
    <xf numFmtId="165" fontId="2" fillId="4" borderId="1" applyAlignment="1" pivotButton="0" quotePrefix="0" xfId="0">
      <alignment horizontal="center" vertical="center"/>
    </xf>
    <xf numFmtId="0" fontId="8" fillId="0" borderId="0" pivotButton="0" quotePrefix="0" xfId="0"/>
    <xf numFmtId="0" fontId="9" fillId="0" borderId="0" pivotButton="0" quotePrefix="0" xfId="0"/>
    <xf numFmtId="0" fontId="6" fillId="0" borderId="0" applyAlignment="1" pivotButton="0" quotePrefix="0" xfId="0">
      <alignment vertical="top" wrapText="1"/>
    </xf>
    <xf numFmtId="0" fontId="7" fillId="0" borderId="0" pivotButton="0" quotePrefix="0" xfId="0"/>
  </cellXfs>
  <cellStyles count="3">
    <cellStyle name="Normal" xfId="0" builtinId="0"/>
    <cellStyle name="Currency" xfId="1" builtinId="4"/>
    <cellStyle name="Percent" xfId="2" builtinId="5"/>
  </cellStyles>
  <dxfs count="47">
    <dxf>
      <numFmt numFmtId="166" formatCode="_([$$-409]* #,##0.00_);_([$$-409]* \(#,##0.00\);_([$$-409]* &quot;-&quot;??_);_(@_)"/>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alignment horizontal="center" vertical="cent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border outline="0">
        <bottom style="thin">
          <color theme="4"/>
        </bottom>
      </bord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bottom"/>
    </dxf>
    <dxf>
      <alignment horizontal="center" vertical="bottom"/>
    </dxf>
    <dxf>
      <alignment horizontal="center" vertical="bottom"/>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center"/>
    </dxf>
    <dxf>
      <alignment horizontal="center" vertical="center"/>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numFmt numFmtId="165" formatCode="[$$-409]#,##0.00"/>
      <border>
        <left style="thin">
          <color indexed="64"/>
        </left>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medium">
          <color indexed="64"/>
        </left>
        <right style="medium">
          <color indexed="64"/>
        </right>
        <top style="medium">
          <color indexed="64"/>
        </top>
        <bottom style="medium">
          <color indexed="64"/>
        </bottom>
      </border>
    </dxf>
    <dxf>
      <alignment horizontal="center" vertical="center" wrapText="1"/>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1" displayName="Table1" ref="B5:C16" headerRowCount="1" totalsRowShown="0" headerRowDxfId="46">
  <autoFilter ref="B5:C16"/>
  <tableColumns count="2">
    <tableColumn id="1" name="Description" dataDxfId="45"/>
    <tableColumn id="2" name="Quantity" dataDxfId="44"/>
  </tableColumns>
  <tableStyleInfo name="TableStyleLight9" showFirstColumn="0" showLastColumn="0" showRowStripes="1" showColumnStripes="0"/>
</table>
</file>

<file path=xl/tables/table2.xml><?xml version="1.0" encoding="utf-8"?>
<table xmlns="http://schemas.openxmlformats.org/spreadsheetml/2006/main" id="2" name="Table2" displayName="Table2" ref="E5:K11" headerRowCount="1" totalsRowShown="0" headerRowDxfId="43" headerRowBorderDxfId="41" tableBorderDxfId="42" totalsRowBorderDxfId="40">
  <autoFilter ref="E5:K11"/>
  <tableColumns count="7">
    <tableColumn id="1" name="Model Name" dataDxfId="39"/>
    <tableColumn id="2" name="Input cost($) per 1M token" dataDxfId="38"/>
    <tableColumn id="3" name="Output cost($) per 1M token" dataDxfId="37"/>
    <tableColumn id="4" name="Cost per input Query($)" dataDxfId="36">
      <calculatedColumnFormula>F6*$C$11/1000000</calculatedColumnFormula>
    </tableColumn>
    <tableColumn id="5" name="Cost per output query Query($)" dataDxfId="35">
      <calculatedColumnFormula>G6*$C$12/1000000</calculatedColumnFormula>
    </tableColumn>
    <tableColumn id="6" name="Total Cost per query" dataDxfId="34">
      <calculatedColumnFormula>H6+I6</calculatedColumnFormula>
    </tableColumn>
    <tableColumn id="7" name="Total cost per month" dataDxfId="33">
      <calculatedColumnFormula>Table2[[#This Row],[Total Cost per query]]*$C$16</calculatedColumnFormula>
    </tableColumn>
  </tableColumns>
  <tableStyleInfo name="TableStyleLight9" showFirstColumn="0" showLastColumn="0" showRowStripes="1" showColumnStripes="0"/>
</table>
</file>

<file path=xl/tables/table3.xml><?xml version="1.0" encoding="utf-8"?>
<table xmlns="http://schemas.openxmlformats.org/spreadsheetml/2006/main" id="3" name="Table3" displayName="Table3" ref="C6:D10" headerRowCount="1" totalsRowShown="0" headerRowDxfId="32" dataDxfId="31">
  <autoFilter ref="C6:D10"/>
  <tableColumns count="2">
    <tableColumn id="1" name="Component" dataDxfId="30"/>
    <tableColumn id="2" name="Quantity" dataDxfId="29"/>
  </tableColumns>
  <tableStyleInfo name="TableStyleLight9" showFirstColumn="0" showLastColumn="0" showRowStripes="1" showColumnStripes="0"/>
</table>
</file>

<file path=xl/tables/table4.xml><?xml version="1.0" encoding="utf-8"?>
<table xmlns="http://schemas.openxmlformats.org/spreadsheetml/2006/main" id="4" name="Table4" displayName="Table4" ref="F6:G10" headerRowCount="1" totalsRowShown="0" headerRowDxfId="28" dataDxfId="27">
  <autoFilter ref="F6:G10"/>
  <tableColumns count="2">
    <tableColumn id="1" name="Component" dataDxfId="26"/>
    <tableColumn id="2" name="Quantity" dataDxfId="25"/>
  </tableColumns>
  <tableStyleInfo name="TableStyleLight9" showFirstColumn="0" showLastColumn="0" showRowStripes="1" showColumnStripes="0"/>
</table>
</file>

<file path=xl/tables/table5.xml><?xml version="1.0" encoding="utf-8"?>
<table xmlns="http://schemas.openxmlformats.org/spreadsheetml/2006/main" id="5" name="Table5" displayName="Table5" ref="I6:J10" headerRowCount="1" totalsRowShown="0" headerRowDxfId="24">
  <autoFilter ref="I6:J10"/>
  <tableColumns count="2">
    <tableColumn id="1" name="Component"/>
    <tableColumn id="2" name="Quantity" dataDxfId="23"/>
  </tableColumns>
  <tableStyleInfo name="TableStyleLight9" showFirstColumn="0" showLastColumn="0" showRowStripes="1" showColumnStripes="0"/>
</table>
</file>

<file path=xl/tables/table6.xml><?xml version="1.0" encoding="utf-8"?>
<table xmlns="http://schemas.openxmlformats.org/spreadsheetml/2006/main" id="6" name="Table6" displayName="Table6" ref="C14:D17" headerRowCount="1" totalsRowShown="0" headerRowDxfId="22" tableBorderDxfId="21">
  <autoFilter ref="C14:D17"/>
  <tableColumns count="2">
    <tableColumn id="1" name="Component"/>
    <tableColumn id="2" name="Cost/Quantit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C21:D26" headerRowCount="1" totalsRowShown="0" headerRowDxfId="20" dataDxfId="19">
  <autoFilter ref="C21:D26"/>
  <tableColumns count="2">
    <tableColumn id="1" name="Component" dataDxfId="18"/>
    <tableColumn id="2" name="Cost/Quantity" dataDxfId="17"/>
  </tableColumns>
  <tableStyleInfo name="TableStyleLight9" showFirstColumn="0" showLastColumn="0" showRowStripes="1" showColumnStripes="0"/>
</table>
</file>

<file path=xl/tables/table8.xml><?xml version="1.0" encoding="utf-8"?>
<table xmlns="http://schemas.openxmlformats.org/spreadsheetml/2006/main" id="8" name="Table8" displayName="Table8" ref="D4:E10" headerRowCount="1" totalsRowShown="0" headerRowDxfId="16" dataDxfId="15">
  <autoFilter ref="D4:E10"/>
  <tableColumns count="2">
    <tableColumn id="1" name="Component" dataDxfId="14"/>
    <tableColumn id="2" name="Quantity" dataDxfId="13"/>
  </tableColumns>
  <tableStyleInfo name="TableStyleLight9" showFirstColumn="0" showLastColumn="0" showRowStripes="1" showColumnStripes="0"/>
</table>
</file>

<file path=xl/tables/table9.xml><?xml version="1.0" encoding="utf-8"?>
<table xmlns="http://schemas.openxmlformats.org/spreadsheetml/2006/main" id="9" name="Table9" displayName="Table9" ref="D14:E17" headerRowCount="1" totalsRowShown="0" headerRowDxfId="12" dataDxfId="11" headerRowBorderDxfId="9" tableBorderDxfId="10" totalsRowBorderDxfId="8">
  <autoFilter ref="D14:E17"/>
  <tableColumns count="2">
    <tableColumn id="1" name="Component" dataDxfId="7"/>
    <tableColumn id="2" name="Cost" dataDxfId="6"/>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D23:E25" headerRowCount="1" totalsRowShown="0" headerRowDxfId="5" headerRowBorderDxfId="3" tableBorderDxfId="4" totalsRowBorderDxfId="2">
  <autoFilter ref="D23:E25"/>
  <tableColumns count="2">
    <tableColumn id="1" name="Component" dataDxfId="1"/>
    <tableColumn id="2" name="Cos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 Type="http://schemas.openxmlformats.org/officeDocument/2006/relationships/table" Target="/xl/tables/table7.xml" Id="rId5"/></Relationships>
</file>

<file path=xl/worksheets/_rels/sheet3.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sheet1.xml><?xml version="1.0" encoding="utf-8"?>
<worksheet xmlns="http://schemas.openxmlformats.org/spreadsheetml/2006/main">
  <sheetPr>
    <outlinePr summaryBelow="1" summaryRight="1"/>
    <pageSetUpPr/>
  </sheetPr>
  <dimension ref="B4:K16"/>
  <sheetViews>
    <sheetView tabSelected="1" zoomScaleNormal="100" workbookViewId="0">
      <selection activeCell="E4" sqref="E4:K4"/>
    </sheetView>
  </sheetViews>
  <sheetFormatPr baseColWidth="8" defaultColWidth="11.19921875" defaultRowHeight="18.95"/>
  <cols>
    <col width="52" customWidth="1" min="2" max="2"/>
    <col width="15.8984375" customWidth="1" min="3" max="3"/>
    <col width="34" customWidth="1" min="5" max="5"/>
    <col width="18.69921875" customWidth="1" min="6" max="6"/>
    <col width="20.296875" customWidth="1" min="7" max="7"/>
    <col width="19" customWidth="1" min="8" max="9"/>
    <col width="12.59765625" customWidth="1" min="10" max="10"/>
    <col width="18.296875" customWidth="1" min="11" max="11"/>
  </cols>
  <sheetData>
    <row r="3" ht="20.1" customHeight="1" thickBot="1"/>
    <row r="4" ht="18.95" customHeight="1">
      <c r="B4" s="51" t="inlineStr">
        <is>
          <t>Base Calculation</t>
        </is>
      </c>
      <c r="C4" s="62" t="n"/>
      <c r="E4" s="63" t="inlineStr">
        <is>
          <t>Model Selection + Cost Estimation</t>
        </is>
      </c>
      <c r="F4" s="64" t="n"/>
      <c r="G4" s="64" t="n"/>
      <c r="H4" s="64" t="n"/>
      <c r="I4" s="64" t="n"/>
      <c r="J4" s="64" t="n"/>
      <c r="K4" s="62" t="n"/>
    </row>
    <row r="5" ht="39.95" customHeight="1">
      <c r="B5" s="23" t="inlineStr">
        <is>
          <t>Input component (tokens per analysis)</t>
        </is>
      </c>
      <c r="C5" s="15" t="inlineStr">
        <is>
          <t>Quantity</t>
        </is>
      </c>
      <c r="E5" s="28" t="inlineStr">
        <is>
          <t>Model Name</t>
        </is>
      </c>
      <c r="F5" s="29" t="inlineStr">
        <is>
          <t>Input cost($) per 1M token</t>
        </is>
      </c>
      <c r="G5" s="29" t="inlineStr">
        <is>
          <t>Output cost($) per 1M token</t>
        </is>
      </c>
      <c r="H5" s="29" t="inlineStr">
        <is>
          <t>Cost per input Query($)</t>
        </is>
      </c>
      <c r="I5" s="29" t="inlineStr">
        <is>
          <t>Cost per output query Query($)</t>
        </is>
      </c>
      <c r="J5" s="29" t="inlineStr">
        <is>
          <t>Total Cost per query</t>
        </is>
      </c>
      <c r="K5" s="30" t="inlineStr">
        <is>
          <t>Total cost per month</t>
        </is>
      </c>
    </row>
    <row r="6">
      <c r="B6" s="23" t="inlineStr">
        <is>
          <t>Draft under review: 12 pages x 500 words x 1.3</t>
        </is>
      </c>
      <c r="C6" s="15" t="n">
        <v>7800</v>
      </c>
      <c r="E6" s="31" t="inlineStr">
        <is>
          <t>Tier A  frontier reasoning</t>
        </is>
      </c>
      <c r="F6" s="2" t="n">
        <v>3</v>
      </c>
      <c r="G6" s="2" t="n">
        <v>15</v>
      </c>
      <c r="H6" s="2">
        <f>F6*$C$11/1000000</f>
        <v/>
      </c>
      <c r="I6" s="2">
        <f>G6*$C$12/1000000</f>
        <v/>
      </c>
      <c r="J6" s="2">
        <f>H6+I6</f>
        <v/>
      </c>
      <c r="K6" s="65">
        <f>J6*$C$16</f>
        <v/>
      </c>
    </row>
    <row r="7">
      <c r="B7" s="23" t="inlineStr">
        <is>
          <t>Retrieved register entries and clauses: 15 x 200 words x 1.3</t>
        </is>
      </c>
      <c r="C7" s="15" t="n">
        <v>3900</v>
      </c>
      <c r="E7" s="31" t="inlineStr">
        <is>
          <t>Tier B  mid tier  [SELECTED]</t>
        </is>
      </c>
      <c r="F7" s="2" t="n">
        <v>0.8</v>
      </c>
      <c r="G7" s="2" t="n">
        <v>4</v>
      </c>
      <c r="H7" s="2">
        <f>F7*$C$11/1000000</f>
        <v/>
      </c>
      <c r="I7" s="2">
        <f>G7*$C$12/1000000</f>
        <v/>
      </c>
      <c r="J7" s="2">
        <f>H7+I7</f>
        <v/>
      </c>
      <c r="K7" s="65">
        <f>J7*$C$16</f>
        <v/>
      </c>
    </row>
    <row r="8">
      <c r="B8" s="23" t="inlineStr">
        <is>
          <t>Derived playbook and entity fact sheet: 800 words x 1.3</t>
        </is>
      </c>
      <c r="C8" s="15" t="n">
        <v>1040</v>
      </c>
      <c r="E8" s="31" t="inlineStr">
        <is>
          <t>Tier C  open weight, hosted free tier</t>
        </is>
      </c>
      <c r="F8" s="2" t="n">
        <v>0.2</v>
      </c>
      <c r="G8" s="2" t="n">
        <v>0.6</v>
      </c>
      <c r="H8" s="2">
        <f>F8*$C$11/1000000</f>
        <v/>
      </c>
      <c r="I8" s="2">
        <f>G8*$C$12/1000000</f>
        <v/>
      </c>
      <c r="J8" s="2">
        <f>H8+I8</f>
        <v/>
      </c>
      <c r="K8" s="65">
        <f>J8*$C$16</f>
        <v/>
      </c>
    </row>
    <row r="9">
      <c r="B9" s="23" t="inlineStr">
        <is>
          <t>System prompt and output schema: 600 words x 1.3</t>
        </is>
      </c>
      <c r="C9" s="15" t="n">
        <v>780</v>
      </c>
      <c r="E9" s="33" t="n"/>
      <c r="F9" s="34" t="n"/>
      <c r="G9" s="34" t="n"/>
      <c r="H9" s="34" t="n"/>
      <c r="I9" s="34" t="n"/>
      <c r="J9" s="34" t="n"/>
      <c r="K9" s="66" t="n"/>
    </row>
    <row r="10">
      <c r="B10" s="23" t="inlineStr">
        <is>
          <t>Deal metadata from the tracker: 100 words x 1.3</t>
        </is>
      </c>
      <c r="C10" s="15" t="n">
        <v>130</v>
      </c>
      <c r="E10" s="67" t="inlineStr">
        <is>
          <t>Prices are representative public list prices for a capability tier, not a vendor commitment. The PRD names capabilities, not models: engineering selects the model and reports cost per analysis.</t>
        </is>
      </c>
      <c r="F10" s="68" t="n"/>
      <c r="G10" s="68" t="n"/>
      <c r="H10" s="68" t="n"/>
      <c r="I10" s="68" t="n"/>
      <c r="J10" s="68" t="n"/>
      <c r="K10" s="36" t="n"/>
    </row>
    <row r="11">
      <c r="B11" s="24" t="inlineStr">
        <is>
          <t>Total input tokens per query</t>
        </is>
      </c>
      <c r="C11" s="25">
        <f>SUM(C6:C10)</f>
        <v/>
      </c>
      <c r="E11" s="69" t="n"/>
      <c r="F11" s="69" t="n"/>
      <c r="G11" s="69" t="n"/>
      <c r="H11" s="69" t="n"/>
      <c r="I11" s="69" t="n"/>
      <c r="J11" s="69" t="n"/>
      <c r="K11" s="70" t="n"/>
    </row>
    <row r="12">
      <c r="B12" s="23" t="inlineStr">
        <is>
          <t>Total output tokens per analysis (triage brief, approx 900 words)</t>
        </is>
      </c>
      <c r="C12" s="15" t="n">
        <v>1200</v>
      </c>
    </row>
    <row r="13">
      <c r="B13" s="24" t="inlineStr">
        <is>
          <t>Total Token per query</t>
        </is>
      </c>
      <c r="C13" s="25">
        <f>C11+C12</f>
        <v/>
      </c>
      <c r="E13" s="71" t="inlineStr">
        <is>
          <t>FINDING</t>
        </is>
      </c>
    </row>
    <row r="14">
      <c r="B14" s="23" t="inlineStr">
        <is>
          <t>Analyses per month (see Assumptions tab)</t>
        </is>
      </c>
      <c r="C14" s="15" t="n">
        <v>14</v>
      </c>
      <c r="E14" s="72" t="inlineStr">
        <is>
          <t>At 14 analyses a month the inference bill is under one dollar a month on every tier, including the most expensive. Token cost is not a real constraint for this product, so it must not drive the design. The binding constraint is accuracy: a single missed collision costs more than a decade of inference. That is why the PRD gates launch on recall and not on budget.</t>
        </is>
      </c>
    </row>
    <row r="15">
      <c r="B15" s="23" t="inlineStr">
        <is>
          <t>Months per year</t>
        </is>
      </c>
      <c r="C15" s="15" t="n">
        <v>12</v>
      </c>
    </row>
    <row r="16" ht="20.1" customHeight="1" thickBot="1">
      <c r="B16" s="26" t="inlineStr">
        <is>
          <t>Total analyses per month</t>
        </is>
      </c>
      <c r="C16" s="27" t="n">
        <v>14</v>
      </c>
    </row>
  </sheetData>
  <mergeCells count="4">
    <mergeCell ref="E4:K4"/>
    <mergeCell ref="E14:K16"/>
    <mergeCell ref="B4:C4"/>
    <mergeCell ref="E10:K1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C3:J34"/>
  <sheetViews>
    <sheetView zoomScaleNormal="100" workbookViewId="0">
      <selection activeCell="F14" sqref="F14"/>
    </sheetView>
  </sheetViews>
  <sheetFormatPr baseColWidth="8" defaultColWidth="11.19921875" defaultRowHeight="18.95"/>
  <cols>
    <col width="42" bestFit="1" customWidth="1" min="3" max="3"/>
    <col width="18" customWidth="1" min="4" max="4"/>
    <col width="26" bestFit="1" customWidth="1" min="6" max="6"/>
    <col width="15" customWidth="1" min="7" max="7"/>
    <col width="30" customWidth="1" min="9" max="9"/>
    <col width="14.8984375" customWidth="1" min="10" max="10"/>
  </cols>
  <sheetData>
    <row r="2" ht="20.1" customHeight="1" thickBot="1"/>
    <row r="3" ht="24.95" customHeight="1" thickBot="1">
      <c r="C3" s="21" t="inlineStr">
        <is>
          <t>Token/word</t>
        </is>
      </c>
      <c r="D3" s="22" t="n">
        <v>1.3</v>
      </c>
    </row>
    <row r="4" ht="20.1" customHeight="1" thickBot="1"/>
    <row r="5" ht="20.1" customHeight="1">
      <c r="C5" s="73" t="inlineStr">
        <is>
          <t>Signed contracts</t>
        </is>
      </c>
      <c r="D5" s="74" t="n"/>
      <c r="F5" s="75" t="inlineStr">
        <is>
          <t>Negotiation notes</t>
        </is>
      </c>
      <c r="G5" s="74" t="n"/>
      <c r="I5" s="75" t="inlineStr">
        <is>
          <t>Entity sheet + tracker</t>
        </is>
      </c>
      <c r="J5" s="74" t="n"/>
    </row>
    <row r="6" ht="20.1" customHeight="1">
      <c r="C6" s="3" t="inlineStr">
        <is>
          <t>Component</t>
        </is>
      </c>
      <c r="D6" s="4" t="inlineStr">
        <is>
          <t>Quantity</t>
        </is>
      </c>
      <c r="F6" s="3" t="inlineStr">
        <is>
          <t>Component</t>
        </is>
      </c>
      <c r="G6" s="4" t="inlineStr">
        <is>
          <t>Quantity</t>
        </is>
      </c>
      <c r="I6" s="3" t="inlineStr">
        <is>
          <t>Component</t>
        </is>
      </c>
      <c r="J6" s="4" t="inlineStr">
        <is>
          <t>Quantity</t>
        </is>
      </c>
    </row>
    <row r="7">
      <c r="C7" s="5" t="inlineStr">
        <is>
          <t>Number of signed contracts</t>
        </is>
      </c>
      <c r="D7" s="6" t="n">
        <v>12</v>
      </c>
      <c r="F7" s="9" t="inlineStr">
        <is>
          <t>Number of note sets</t>
        </is>
      </c>
      <c r="G7" s="10" t="n">
        <v>1</v>
      </c>
      <c r="I7" s="11" t="inlineStr">
        <is>
          <t>Number of reference documents</t>
        </is>
      </c>
      <c r="J7" s="6" t="n">
        <v>2</v>
      </c>
    </row>
    <row r="8" ht="20.1" customHeight="1">
      <c r="C8" s="5" t="inlineStr">
        <is>
          <t>Average words per contract</t>
        </is>
      </c>
      <c r="D8" s="6" t="n">
        <v>2500</v>
      </c>
      <c r="F8" s="9" t="inlineStr">
        <is>
          <t>Words per note set</t>
        </is>
      </c>
      <c r="G8" s="10" t="n">
        <v>3000</v>
      </c>
      <c r="I8" s="12" t="inlineStr">
        <is>
          <t>Average words per document</t>
        </is>
      </c>
      <c r="J8" s="6" t="n">
        <v>900</v>
      </c>
    </row>
    <row r="9">
      <c r="C9" s="5" t="inlineStr">
        <is>
          <t>Total number of words</t>
        </is>
      </c>
      <c r="D9" s="6">
        <f>D7*D8</f>
        <v/>
      </c>
      <c r="F9" s="9" t="inlineStr">
        <is>
          <t>Total number of words</t>
        </is>
      </c>
      <c r="G9" s="10">
        <f>G8*G7</f>
        <v/>
      </c>
      <c r="I9" s="11" t="inlineStr">
        <is>
          <t>Total number of words</t>
        </is>
      </c>
      <c r="J9" s="6">
        <f>J8*J7</f>
        <v/>
      </c>
    </row>
    <row r="10" ht="20.1" customHeight="1" thickBot="1">
      <c r="C10" s="7" t="inlineStr">
        <is>
          <t>Total Tokens</t>
        </is>
      </c>
      <c r="D10" s="8">
        <f>D9*D3</f>
        <v/>
      </c>
      <c r="F10" s="7" t="inlineStr">
        <is>
          <t>Total tokens</t>
        </is>
      </c>
      <c r="G10" s="8">
        <f>G9*D3</f>
        <v/>
      </c>
      <c r="I10" s="7" t="inlineStr">
        <is>
          <t>Total tokens</t>
        </is>
      </c>
      <c r="J10" s="8">
        <f>J9*D3</f>
        <v/>
      </c>
    </row>
    <row r="12" ht="20.1" customHeight="1" thickBot="1"/>
    <row r="13">
      <c r="C13" s="73" t="inlineStr">
        <is>
          <t>RAG Embeddings</t>
        </is>
      </c>
      <c r="D13" s="74" t="n"/>
    </row>
    <row r="14" ht="20.1" customHeight="1">
      <c r="C14" s="3" t="inlineStr">
        <is>
          <t>Component</t>
        </is>
      </c>
      <c r="D14" s="4" t="inlineStr">
        <is>
          <t>Cost/Quantity</t>
        </is>
      </c>
    </row>
    <row r="15">
      <c r="C15" s="5" t="inlineStr">
        <is>
          <t>Total tokens for the one-time register build</t>
        </is>
      </c>
      <c r="D15" s="6">
        <f>D10+G10+J10</f>
        <v/>
      </c>
    </row>
    <row r="16">
      <c r="C16" s="5" t="inlineStr">
        <is>
          <t>Cost per 1M token</t>
        </is>
      </c>
      <c r="D16" s="6" t="n">
        <v>0.13</v>
      </c>
    </row>
    <row r="17" ht="20.1" customHeight="1" thickBot="1">
      <c r="C17" s="13" t="inlineStr">
        <is>
          <t>Total cost for RAG</t>
        </is>
      </c>
      <c r="D17" s="76">
        <f>D15*D16/1000000</f>
        <v/>
      </c>
    </row>
    <row r="19" ht="20.1" customHeight="1" thickBot="1"/>
    <row r="20">
      <c r="C20" s="73" t="inlineStr">
        <is>
          <t>Per-analysis retrieval embeddings</t>
        </is>
      </c>
      <c r="D20" s="74" t="n"/>
    </row>
    <row r="21" ht="20.1" customHeight="1">
      <c r="C21" s="3" t="inlineStr">
        <is>
          <t>Component</t>
        </is>
      </c>
      <c r="D21" s="4" t="inlineStr">
        <is>
          <t>Cost/Quantity</t>
        </is>
      </c>
    </row>
    <row r="22">
      <c r="C22" s="5" t="inlineStr">
        <is>
          <t>Tokens embedded per draft analysed</t>
        </is>
      </c>
      <c r="D22" s="15" t="n">
        <v>7800</v>
      </c>
    </row>
    <row r="23">
      <c r="C23" s="5" t="inlineStr">
        <is>
          <t>Analyses per month</t>
        </is>
      </c>
      <c r="D23" s="6" t="n">
        <v>14</v>
      </c>
    </row>
    <row r="24">
      <c r="C24" s="5" t="inlineStr">
        <is>
          <t>Tokens per month</t>
        </is>
      </c>
      <c r="D24" s="6">
        <f>D23*D22</f>
        <v/>
      </c>
    </row>
    <row r="25">
      <c r="C25" s="16" t="inlineStr">
        <is>
          <t>Cost per 1M token</t>
        </is>
      </c>
      <c r="D25" s="17" t="n">
        <v>0.13</v>
      </c>
    </row>
    <row r="26" ht="20.1" customHeight="1" thickBot="1">
      <c r="C26" s="18" t="inlineStr">
        <is>
          <t>Total cost for user query embeddings</t>
        </is>
      </c>
      <c r="D26" s="76">
        <f>D24*D25/1000000</f>
        <v/>
      </c>
    </row>
    <row r="28" ht="20.1" customHeight="1" thickBot="1"/>
    <row r="29" ht="20.1" customHeight="1" thickBot="1">
      <c r="C29" s="19" t="inlineStr">
        <is>
          <t>Total embeddings cost (one-time build + first month)</t>
        </is>
      </c>
      <c r="D29" s="77">
        <f>D17+D26</f>
        <v/>
      </c>
    </row>
    <row r="31">
      <c r="C31" s="71" t="inlineStr">
        <is>
          <t>FINDING</t>
        </is>
      </c>
    </row>
    <row r="32">
      <c r="C32" s="72" t="inlineStr">
        <is>
          <t>The entire archive embeds for well under a cent. Re-embedding from scratch on every signed contract is cheaper than building incremental update logic, so v1 re-runs the whole extraction rather than maintaining state. This is a cost finding that simplified the architecture.</t>
        </is>
      </c>
    </row>
    <row r="33"/>
    <row r="34"/>
  </sheetData>
  <mergeCells count="6">
    <mergeCell ref="C20:D20"/>
    <mergeCell ref="F5:G5"/>
    <mergeCell ref="C5:D5"/>
    <mergeCell ref="C32:J34"/>
    <mergeCell ref="I5:J5"/>
    <mergeCell ref="C13:D13"/>
  </mergeCells>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outlinePr summaryBelow="1" summaryRight="1"/>
    <pageSetUpPr/>
  </sheetPr>
  <dimension ref="D3:E32"/>
  <sheetViews>
    <sheetView zoomScaleNormal="100" workbookViewId="0">
      <selection activeCell="D3" sqref="D3:E3"/>
    </sheetView>
  </sheetViews>
  <sheetFormatPr baseColWidth="8" defaultColWidth="11.19921875" defaultRowHeight="18.95"/>
  <cols>
    <col width="72" customWidth="1" min="4" max="4"/>
    <col width="16" customWidth="1" min="5" max="5"/>
  </cols>
  <sheetData>
    <row r="3">
      <c r="D3" s="60" t="inlineStr">
        <is>
          <t>Current human effort per month (client-confirmed unless marked)</t>
        </is>
      </c>
    </row>
    <row r="4">
      <c r="D4" s="1" t="inlineStr">
        <is>
          <t>Component</t>
        </is>
      </c>
      <c r="E4" s="1" t="inlineStr">
        <is>
          <t>Hours</t>
        </is>
      </c>
    </row>
    <row r="5">
      <c r="D5" s="1" t="inlineStr">
        <is>
          <t>Standard contracts: 2.5 per month x 2 hours</t>
        </is>
      </c>
      <c r="E5" s="1" t="n">
        <v>5</v>
      </c>
    </row>
    <row r="6">
      <c r="D6" s="1" t="inlineStr">
        <is>
          <t>Complex contracts: 1 per month x 7 hours (client: 6 to 8, multiple passes)</t>
        </is>
      </c>
      <c r="E6" s="1" t="n">
        <v>7</v>
      </c>
    </row>
    <row r="7">
      <c r="D7" s="1" t="inlineStr">
        <is>
          <t>Full re-review of renegotiated drafts: 1.75 x 2 hours  [ASSUMPTION]</t>
        </is>
      </c>
      <c r="E7" s="1" t="n">
        <v>3.5</v>
      </c>
    </row>
    <row r="8">
      <c r="D8" s="1" t="inlineStr">
        <is>
          <t>NDAs: 4.5 per month x 0.5 hours  [ASSUMPTION - asked, not answered]</t>
        </is>
      </c>
      <c r="E8" s="1" t="n">
        <v>2.25</v>
      </c>
    </row>
    <row r="9">
      <c r="D9" s="1" t="inlineStr">
        <is>
          <t>Total review hours per month</t>
        </is>
      </c>
      <c r="E9" s="1">
        <f>SUM(E5:E8)</f>
        <v/>
      </c>
    </row>
    <row r="10">
      <c r="D10" s="1" t="inlineStr">
        <is>
          <t>Total review hours per year</t>
        </is>
      </c>
      <c r="E10" s="1">
        <f>E9*12</f>
        <v/>
      </c>
    </row>
    <row r="13">
      <c r="D13" s="60" t="inlineStr">
        <is>
          <t>Annual cost of the current process</t>
        </is>
      </c>
    </row>
    <row r="14">
      <c r="D14" s="28" t="inlineStr">
        <is>
          <t>Component</t>
        </is>
      </c>
      <c r="E14" s="44" t="inlineStr">
        <is>
          <t>Cost ($)</t>
        </is>
      </c>
    </row>
    <row r="15">
      <c r="D15" s="31" t="inlineStr">
        <is>
          <t>Value of CEO time per hour  [ASSUMPTION: $50, range $40 to $80]</t>
        </is>
      </c>
      <c r="E15" s="78" t="n">
        <v>50</v>
      </c>
    </row>
    <row r="16">
      <c r="D16" s="31" t="inlineStr">
        <is>
          <t>Annual cost of review time</t>
        </is>
      </c>
      <c r="E16" s="79">
        <f>E10*E15</f>
        <v/>
      </c>
    </row>
    <row r="17">
      <c r="D17" s="49" t="inlineStr">
        <is>
          <t>Outside counsel, annual (client-confirmed)</t>
        </is>
      </c>
      <c r="E17" s="80" t="n">
        <v>5000</v>
      </c>
    </row>
    <row r="19">
      <c r="D19" s="60" t="inlineStr">
        <is>
          <t>Total annual cost of the current process</t>
        </is>
      </c>
      <c r="E19" s="81">
        <f>E16+E17</f>
        <v/>
      </c>
    </row>
    <row r="22" ht="20.1" customHeight="1">
      <c r="D22" s="61" t="inlineStr">
        <is>
          <t>Annual cost of the system</t>
        </is>
      </c>
    </row>
    <row r="23">
      <c r="D23" s="28" t="inlineStr">
        <is>
          <t>Component</t>
        </is>
      </c>
      <c r="E23" s="44" t="inlineStr">
        <is>
          <t>Cost ($)</t>
        </is>
      </c>
    </row>
    <row r="24">
      <c r="D24" s="33" t="inlineStr">
        <is>
          <t>Inference (Tier B, 14 analyses per month, x12)</t>
        </is>
      </c>
      <c r="E24" s="82">
        <f>Inference!K7*12</f>
        <v/>
      </c>
    </row>
    <row r="25">
      <c r="D25" s="36" t="inlineStr">
        <is>
          <t>Embeddings (annual re-builds and retrieval)</t>
        </is>
      </c>
      <c r="E25" s="83">
        <f>Embeddings!D29*12</f>
        <v/>
      </c>
    </row>
    <row r="26">
      <c r="D26" t="inlineStr">
        <is>
          <t>Hosting and storage (production estimate; $0 on free tier for the MVP)</t>
        </is>
      </c>
      <c r="E26" t="n">
        <v>240</v>
      </c>
    </row>
    <row r="27">
      <c r="D27" s="60" t="inlineStr">
        <is>
          <t>Total annual run cost</t>
        </is>
      </c>
      <c r="E27" s="81">
        <f>E24+E25+E26</f>
        <v/>
      </c>
    </row>
    <row r="30">
      <c r="D30" s="41" t="inlineStr">
        <is>
          <t>Gross annual saving (review time only, counsel reduction modelled as zero)</t>
        </is>
      </c>
      <c r="E30" s="84">
        <f>(E10-Assumptions!C17*12)*E15-E27</f>
        <v/>
      </c>
    </row>
    <row r="31">
      <c r="D31" s="41" t="inlineStr">
        <is>
          <t>Return on run cost</t>
        </is>
      </c>
      <c r="E31" s="43">
        <f>E30/E27</f>
        <v/>
      </c>
    </row>
    <row r="32">
      <c r="D32" s="88" t="inlineStr">
        <is>
          <t>Hours returned to the CEO per year</t>
        </is>
      </c>
      <c r="E32" s="88">
        <f>E10-Assumptions!C17*12</f>
        <v/>
      </c>
    </row>
  </sheetData>
  <mergeCells count="3">
    <mergeCell ref="D3:E3"/>
    <mergeCell ref="D13:E13"/>
    <mergeCell ref="D22:E22"/>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cols>
    <col width="34" customWidth="1" min="2" max="2"/>
    <col width="12" customWidth="1" min="3" max="3"/>
    <col width="8" customWidth="1" min="4" max="4"/>
    <col width="78" customWidth="1" min="5" max="5"/>
  </cols>
  <sheetData>
    <row r="2">
      <c r="B2" s="85" t="inlineStr">
        <is>
          <t>ASSUMPTIONS AND SENSITIVITY</t>
        </is>
      </c>
    </row>
    <row r="3">
      <c r="B3" s="86" t="inlineStr">
        <is>
          <t>C = client-confirmed.  D = derived from the dataset.  A = assumption, not confirmed.</t>
        </is>
      </c>
    </row>
    <row r="4">
      <c r="B4" s="87" t="inlineStr">
        <is>
          <t>Input</t>
        </is>
      </c>
      <c r="C4" s="87" t="inlineStr">
        <is>
          <t>Value</t>
        </is>
      </c>
      <c r="D4" s="87" t="inlineStr">
        <is>
          <t>Type</t>
        </is>
      </c>
      <c r="E4" s="87" t="inlineStr">
        <is>
          <t>Basis / what changes if wrong</t>
        </is>
      </c>
    </row>
    <row r="5">
      <c r="B5" s="72" t="inlineStr">
        <is>
          <t>Contracts per month</t>
        </is>
      </c>
      <c r="C5" s="72" t="n">
        <v>3.5</v>
      </c>
      <c r="D5" s="72" t="inlineStr">
        <is>
          <t>C</t>
        </is>
      </c>
      <c r="E5" s="72" t="inlineStr">
        <is>
          <t>Aakash, 8 and 10 Oct</t>
        </is>
      </c>
    </row>
    <row r="6">
      <c r="B6" s="72" t="inlineStr">
        <is>
          <t>NDAs per month</t>
        </is>
      </c>
      <c r="C6" s="72" t="n">
        <v>4.5</v>
      </c>
      <c r="D6" s="72" t="inlineStr">
        <is>
          <t>C</t>
        </is>
      </c>
      <c r="E6" s="72" t="inlineStr">
        <is>
          <t>Aakash, 8 and 10 Oct</t>
        </is>
      </c>
    </row>
    <row r="7">
      <c r="B7" s="72" t="inlineStr">
        <is>
          <t>Hours per standard contract</t>
        </is>
      </c>
      <c r="C7" s="72" t="n">
        <v>2</v>
      </c>
      <c r="D7" s="72" t="inlineStr">
        <is>
          <t>C</t>
        </is>
      </c>
      <c r="E7" s="72" t="inlineStr">
        <is>
          <t>Aakash, 8 Oct</t>
        </is>
      </c>
    </row>
    <row r="8">
      <c r="B8" s="72" t="inlineStr">
        <is>
          <t>Hours per complex contract</t>
        </is>
      </c>
      <c r="C8" s="72" t="n">
        <v>7</v>
      </c>
      <c r="D8" s="72" t="inlineStr">
        <is>
          <t>C</t>
        </is>
      </c>
      <c r="E8" s="72" t="inlineStr">
        <is>
          <t>Aakash, 10 Oct: six to eight, multiple passes</t>
        </is>
      </c>
    </row>
    <row r="9">
      <c r="B9" s="72" t="inlineStr">
        <is>
          <t>Hours per NDA</t>
        </is>
      </c>
      <c r="C9" s="72" t="n">
        <v>0.5</v>
      </c>
      <c r="D9" s="72" t="inlineStr">
        <is>
          <t>A</t>
        </is>
      </c>
      <c r="E9" s="72" t="inlineStr">
        <is>
          <t>ASKED ON 10 OCT, NOT ANSWERED. At 2h the annual saving rises by about $4,000; at 0.25h it falls by about $700. Does not change the conclusion.</t>
        </is>
      </c>
    </row>
    <row r="10">
      <c r="B10" s="72" t="inlineStr">
        <is>
          <t>Re-review cycles per contract</t>
        </is>
      </c>
      <c r="C10" s="72" t="n">
        <v>1.5</v>
      </c>
      <c r="D10" s="72" t="inlineStr">
        <is>
          <t>A</t>
        </is>
      </c>
      <c r="E10" s="72" t="inlineStr">
        <is>
          <t>Client confirms renegotiated drafts are re-read in full, but gave no frequency. Estimated from the dataset.</t>
        </is>
      </c>
    </row>
    <row r="11">
      <c r="B11" s="72" t="inlineStr">
        <is>
          <t>Value of CEO time per hour</t>
        </is>
      </c>
      <c r="C11" s="72" t="n">
        <v>50</v>
      </c>
      <c r="D11" s="72" t="inlineStr">
        <is>
          <t>A</t>
        </is>
      </c>
      <c r="E11" s="72" t="inlineStr">
        <is>
          <t>Conservative. At $80 the annual saving is roughly 60% higher. Conclusion unchanged.</t>
        </is>
      </c>
    </row>
    <row r="12">
      <c r="B12" s="72" t="inlineStr">
        <is>
          <t>Outside counsel per year</t>
        </is>
      </c>
      <c r="C12" s="72" t="n">
        <v>5000</v>
      </c>
      <c r="D12" s="72" t="inlineStr">
        <is>
          <t>C</t>
        </is>
      </c>
      <c r="E12" s="72" t="inlineStr">
        <is>
          <t>Aakash, 8 Oct. Open question: whether this includes litigation.</t>
        </is>
      </c>
    </row>
    <row r="13">
      <c r="B13" s="72" t="inlineStr">
        <is>
          <t>Counsel reduction from the system</t>
        </is>
      </c>
      <c r="C13" s="72" t="n">
        <v>0</v>
      </c>
      <c r="D13" s="72" t="inlineStr">
        <is>
          <t>A</t>
        </is>
      </c>
      <c r="E13" s="72" t="inlineStr">
        <is>
          <t>Deliberately modelled as zero. Any reduction is upside, not a claim.</t>
        </is>
      </c>
    </row>
    <row r="14">
      <c r="B14" s="72" t="inlineStr">
        <is>
          <t>Pages per contract</t>
        </is>
      </c>
      <c r="C14" s="72" t="n">
        <v>12</v>
      </c>
      <c r="D14" s="72" t="inlineStr">
        <is>
          <t>C</t>
        </is>
      </c>
      <c r="E14" s="72" t="inlineStr">
        <is>
          <t>Aakash, 10 Oct: consider 10 to 15 pages</t>
        </is>
      </c>
    </row>
    <row r="15">
      <c r="B15" s="72" t="inlineStr">
        <is>
          <t>Tokens per word</t>
        </is>
      </c>
      <c r="C15" s="72" t="n">
        <v>1.3</v>
      </c>
      <c r="D15" s="72" t="inlineStr">
        <is>
          <t>D</t>
        </is>
      </c>
      <c r="E15" s="72" t="inlineStr">
        <is>
          <t>Session 9 standard</t>
        </is>
      </c>
    </row>
    <row r="16">
      <c r="B16" s="72" t="inlineStr">
        <is>
          <t>Analyses per month</t>
        </is>
      </c>
      <c r="C16" s="72" t="n">
        <v>14</v>
      </c>
      <c r="D16" s="72" t="inlineStr">
        <is>
          <t>D</t>
        </is>
      </c>
      <c r="E16" s="72" t="inlineStr">
        <is>
          <t>3.5 contracts x 2.5 passes + 4.5 NDAs x 1.2 passes</t>
        </is>
      </c>
    </row>
    <row r="17">
      <c r="B17" s="72" t="inlineStr">
        <is>
          <t>Post-tool review hours per month</t>
        </is>
      </c>
      <c r="C17" s="72" t="n">
        <v>4.8</v>
      </c>
      <c r="D17" s="72" t="inlineStr">
        <is>
          <t>A</t>
        </is>
      </c>
      <c r="E17" s="72" t="inlineStr">
        <is>
          <t>Beta gate from the PRD rollout: under 30 min per standard contract, 2h per complex. Not the 5-minute North Star, which is the tool's own turnaround.</t>
        </is>
      </c>
    </row>
    <row r="21">
      <c r="B21" s="71" t="inlineStr">
        <is>
          <t>AVOIDED LOSS, shown separately and deliberately not blended into the return above</t>
        </is>
      </c>
    </row>
    <row r="22">
      <c r="B22" s="72" t="inlineStr">
        <is>
          <t>Brightwater cost $14,200 in counsel fees plus a $9,000 settlement credit on a $92,000 deal: $23,200 in all. The client confirms its out-of-pattern liability cap was noticed only afterwards, during due diligence. A pattern check across the twelve signed contracts would have flagged it before signature. One avoided event of that size is roughly 95 times the annual run cost of the system. It is left out of the return calculation because its frequency is unknown, and a business case should not rest on a number nobody has measured.</t>
        </is>
      </c>
    </row>
    <row r="23"/>
    <row r="24"/>
    <row r="25"/>
    <row r="26"/>
  </sheetData>
  <mergeCells count="1">
    <mergeCell ref="B22:E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Aakash  Pardeshi</dc:creator>
  <dcterms:created xmlns:dcterms="http://purl.org/dc/terms/" xmlns:xsi="http://www.w3.org/2001/XMLSchema-instance" xsi:type="dcterms:W3CDTF">2026-09-12T10:38:39Z</dcterms:created>
  <dcterms:modified xmlns:dcterms="http://purl.org/dc/terms/" xmlns:xsi="http://www.w3.org/2001/XMLSchema-instance" xsi:type="dcterms:W3CDTF">2026-10-10T17:36:05Z</dcterms:modified>
</cp:coreProperties>
</file>